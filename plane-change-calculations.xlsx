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f672a512d4e892/Documents/"/>
    </mc:Choice>
  </mc:AlternateContent>
  <xr:revisionPtr revIDLastSave="2" documentId="8_{CEC82B87-14EE-4E94-BC0F-38BC602A76F9}" xr6:coauthVersionLast="47" xr6:coauthVersionMax="47" xr10:uidLastSave="{CD8AF961-158B-4753-A1B3-DD05AB7175BC}"/>
  <bookViews>
    <workbookView xWindow="-108" yWindow="-108" windowWidth="23256" windowHeight="13176" xr2:uid="{5116F1BA-F1DE-45E2-9F3A-19CEEAAB754D}"/>
  </bookViews>
  <sheets>
    <sheet name="Calc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F24" i="1"/>
  <c r="F25" i="1"/>
  <c r="F26" i="1"/>
  <c r="F27" i="1"/>
  <c r="F28" i="1"/>
  <c r="F29" i="1"/>
  <c r="F30" i="1"/>
  <c r="E24" i="1"/>
  <c r="E25" i="1"/>
  <c r="E26" i="1"/>
  <c r="E27" i="1"/>
  <c r="E28" i="1"/>
  <c r="E29" i="1"/>
  <c r="E30" i="1"/>
  <c r="E23" i="1"/>
  <c r="D24" i="1"/>
  <c r="D25" i="1"/>
  <c r="D26" i="1"/>
  <c r="D27" i="1"/>
  <c r="D28" i="1"/>
  <c r="D29" i="1"/>
  <c r="D30" i="1"/>
  <c r="D23" i="1"/>
  <c r="C23" i="1"/>
  <c r="C24" i="1"/>
  <c r="C25" i="1"/>
  <c r="C26" i="1"/>
  <c r="C27" i="1"/>
  <c r="C28" i="1"/>
  <c r="C29" i="1"/>
  <c r="C30" i="1"/>
  <c r="B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B3" i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D2" i="1" l="1"/>
</calcChain>
</file>

<file path=xl/sharedStrings.xml><?xml version="1.0" encoding="utf-8"?>
<sst xmlns="http://schemas.openxmlformats.org/spreadsheetml/2006/main" count="20" uniqueCount="12">
  <si>
    <t>Variable</t>
  </si>
  <si>
    <t>Number</t>
  </si>
  <si>
    <t>Value</t>
  </si>
  <si>
    <t>Case</t>
  </si>
  <si>
    <t>Final Altitude (km)</t>
  </si>
  <si>
    <t>Δθ (degrees)</t>
  </si>
  <si>
    <t>Total Δv_p (m/s)</t>
  </si>
  <si>
    <t>Total Δv_a (m/s)</t>
  </si>
  <si>
    <t>Δv Savings (m/s)</t>
  </si>
  <si>
    <t>r₁ (m)</t>
  </si>
  <si>
    <t>r₂ (m)</t>
  </si>
  <si>
    <t>μ (m³/s²)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</si>
</sst>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6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</a:t>
            </a:r>
            <a:r>
              <a:rPr lang="el-GR" sz="1400" b="0" i="0" u="none" strike="noStrike" baseline="0"/>
              <a:t>Δ</a:t>
            </a:r>
            <a:r>
              <a:rPr lang="en-US" sz="1400" b="0" i="0" u="none" strike="noStrike" baseline="0"/>
              <a:t>v vs Inclination Change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Calculations!$B$1</c:f>
              <c:strCache>
                <c:ptCount val="1"/>
                <c:pt idx="0">
                  <c:v>Total Δv_p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Calculations!$A$2:$A$14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</c:numCache>
            </c:numRef>
          </c:xVal>
          <c:yVal>
            <c:numRef>
              <c:f>Calculations!$B$2:$B$14</c:f>
              <c:numCache>
                <c:formatCode>0.00E+00</c:formatCode>
                <c:ptCount val="13"/>
                <c:pt idx="0">
                  <c:v>895.89691236824694</c:v>
                </c:pt>
                <c:pt idx="1">
                  <c:v>1573.4863466462659</c:v>
                </c:pt>
                <c:pt idx="2">
                  <c:v>2248.4936609772935</c:v>
                </c:pt>
                <c:pt idx="3">
                  <c:v>2919.633940573593</c:v>
                </c:pt>
                <c:pt idx="4">
                  <c:v>3585.629631767833</c:v>
                </c:pt>
                <c:pt idx="5">
                  <c:v>4245.2129739091033</c:v>
                </c:pt>
                <c:pt idx="6">
                  <c:v>4897.1284126173741</c:v>
                </c:pt>
                <c:pt idx="7">
                  <c:v>5540.1349898026101</c:v>
                </c:pt>
                <c:pt idx="8">
                  <c:v>6173.0087058990366</c:v>
                </c:pt>
                <c:pt idx="9">
                  <c:v>6794.5448498178721</c:v>
                </c:pt>
                <c:pt idx="10">
                  <c:v>7403.5602921833633</c:v>
                </c:pt>
                <c:pt idx="11">
                  <c:v>7998.8957374867905</c:v>
                </c:pt>
                <c:pt idx="12">
                  <c:v>8579.4179308713683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EB-480F-A8DC-B1A1741215EF}"/>
            </c:ext>
          </c:extLst>
        </c:ser>
        <c:ser>
          <c:idx val="1"/>
          <c:order val="1"/>
          <c:tx>
            <c:strRef>
              <c:f>Calculations!$C$1</c:f>
              <c:strCache>
                <c:ptCount val="1"/>
                <c:pt idx="0">
                  <c:v>Total Δv_a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Calculations!$A$2:$A$14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</c:numCache>
            </c:numRef>
          </c:xVal>
          <c:yVal>
            <c:numRef>
              <c:f>Calculations!$C$2:$C$14</c:f>
              <c:numCache>
                <c:formatCode>0.00E+00</c:formatCode>
                <c:ptCount val="13"/>
                <c:pt idx="0">
                  <c:v>858.02873642485281</c:v>
                </c:pt>
                <c:pt idx="1">
                  <c:v>1497.8220789846725</c:v>
                </c:pt>
                <c:pt idx="2">
                  <c:v>2135.1773328314703</c:v>
                </c:pt>
                <c:pt idx="3">
                  <c:v>2768.8812560146448</c:v>
                </c:pt>
                <c:pt idx="4">
                  <c:v>3397.7275570990396</c:v>
                </c:pt>
                <c:pt idx="5">
                  <c:v>4020.5191914092538</c:v>
                </c:pt>
                <c:pt idx="6">
                  <c:v>4636.0706396722153</c:v>
                </c:pt>
                <c:pt idx="7">
                  <c:v>5243.2101647204981</c:v>
                </c:pt>
                <c:pt idx="8">
                  <c:v>5840.7820419606187</c:v>
                </c:pt>
                <c:pt idx="9">
                  <c:v>6427.6487593604843</c:v>
                </c:pt>
                <c:pt idx="10">
                  <c:v>7002.693182768201</c:v>
                </c:pt>
                <c:pt idx="11">
                  <c:v>7564.8206824404233</c:v>
                </c:pt>
                <c:pt idx="12">
                  <c:v>8112.9612167322894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EB-480F-A8DC-B1A174121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341647"/>
        <c:axId val="700330607"/>
      </c:scatterChart>
      <c:valAx>
        <c:axId val="70034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Inclination Change, </a:t>
                </a:r>
                <a:r>
                  <a:rPr lang="el-GR" sz="1000" b="0" i="0" u="none" strike="noStrike" baseline="0"/>
                  <a:t>Δθ (</a:t>
                </a:r>
                <a:r>
                  <a:rPr lang="en-US" sz="1000" b="0" i="0" u="none" strike="noStrike" baseline="0"/>
                  <a:t>degrees)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330607"/>
        <c:crosses val="autoZero"/>
        <c:crossBetween val="midCat"/>
      </c:valAx>
      <c:valAx>
        <c:axId val="7003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 </a:t>
                </a:r>
                <a:r>
                  <a:rPr lang="el-GR" sz="1000" b="0" i="0" u="none" strike="noStrike" baseline="0"/>
                  <a:t>Δ</a:t>
                </a:r>
                <a:r>
                  <a:rPr lang="en-US" sz="1000" b="0" i="0" u="none" strike="noStrike" baseline="0"/>
                  <a:t>v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341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Δv Savings vs Final Orbit Altitude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Calculations!$B$23:$B$30</c:f>
              <c:numCache>
                <c:formatCode>General</c:formatCode>
                <c:ptCount val="8"/>
                <c:pt idx="0">
                  <c:v>800</c:v>
                </c:pt>
                <c:pt idx="1">
                  <c:v>1000</c:v>
                </c:pt>
                <c:pt idx="2">
                  <c:v>1400</c:v>
                </c:pt>
                <c:pt idx="3">
                  <c:v>2000</c:v>
                </c:pt>
                <c:pt idx="4">
                  <c:v>2800</c:v>
                </c:pt>
                <c:pt idx="5">
                  <c:v>3800</c:v>
                </c:pt>
                <c:pt idx="6">
                  <c:v>5000</c:v>
                </c:pt>
                <c:pt idx="7">
                  <c:v>6400</c:v>
                </c:pt>
              </c:numCache>
            </c:numRef>
          </c:xVal>
          <c:yVal>
            <c:numRef>
              <c:f>Calculations!$F$23:$F$30</c:f>
              <c:numCache>
                <c:formatCode>0.00E+00</c:formatCode>
                <c:ptCount val="8"/>
                <c:pt idx="0">
                  <c:v>346.1740480868275</c:v>
                </c:pt>
                <c:pt idx="1">
                  <c:v>508.53347242303698</c:v>
                </c:pt>
                <c:pt idx="2">
                  <c:v>814.02246618915069</c:v>
                </c:pt>
                <c:pt idx="3">
                  <c:v>1229.7776801159052</c:v>
                </c:pt>
                <c:pt idx="4">
                  <c:v>1717.5856711332444</c:v>
                </c:pt>
                <c:pt idx="5">
                  <c:v>2241.30864860162</c:v>
                </c:pt>
                <c:pt idx="6">
                  <c:v>2771.4231246661011</c:v>
                </c:pt>
                <c:pt idx="7">
                  <c:v>3286.5573058737318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D0-40AC-B2E5-30A216145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096815"/>
        <c:axId val="62322575"/>
      </c:scatterChart>
      <c:valAx>
        <c:axId val="43209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Final Orbit Altitude (km)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2575"/>
        <c:crosses val="autoZero"/>
        <c:crossBetween val="midCat"/>
      </c:valAx>
      <c:valAx>
        <c:axId val="6232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Δv Savings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9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642258</xdr:colOff>
      <xdr:row>0</xdr:row>
      <xdr:rowOff>76199</xdr:rowOff>
    </xdr:from>
    <xdr:to>
      <xdr:col>16</xdr:col>
      <xdr:colOff>366033</xdr:colOff>
      <xdr:row>18</xdr:row>
      <xdr:rowOff>119742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BE140C-F9D7-41F2-CDBE-284FCD4DF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252276</xdr:colOff>
      <xdr:row>20</xdr:row>
      <xdr:rowOff>184376</xdr:rowOff>
    </xdr:from>
    <xdr:to>
      <xdr:col>16</xdr:col>
      <xdr:colOff>558981</xdr:colOff>
      <xdr:row>36</xdr:row>
      <xdr:rowOff>31704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6DCF5-9AA2-C796-D76D-81AD10B75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59A9A-E1FF-45F0-B6E8-65F9C39F2DC4}" name="Table1" displayName="Table1" ref="A1:D14" totalsRowShown="0">
  <autoFilter ref="A1:D14" xr:uid="{82E59A9A-E1FF-45F0-B6E8-65F9C39F2DC4}"/>
  <tableColumns count="4">
    <tableColumn id="1" xr3:uid="{C1F68C77-660C-44DB-952D-6A391B1D8FDA}" name="Δθ (degrees)"/>
    <tableColumn id="2" xr3:uid="{5DB448A8-ED3F-4579-BFC5-87BD6F2EC34C}" name="Total Δv_p (m/s)" dataDxfId="5">
      <calculatedColumnFormula>ABS(SQRT($G$4*(2/$G$2-1/(($G$2+$G$3)/2)))-SQRT($G$4/$G$2))
+2*SQRT($G$4*(2/$G$2-1/(($G$2+$G$3)/2)))*SIN(RADIANS(A2)/2)
+ABS(SQRT($G$4/$G$3)-SQRT($G$4*(2/$G$3-1/(($G$2+$G$3)/2))))</calculatedColumnFormula>
    </tableColumn>
    <tableColumn id="3" xr3:uid="{3DD9CC71-10D8-4D42-BF76-89FB414AB124}" name="Total Δv_a (m/s)" dataDxfId="4">
      <calculatedColumnFormula>ABS(SQRT($G$4*(2/$G$2-1/(($G$2+$G$3)/2)))-SQRT($G$4/$G$2))
+2*SQRT($G$4*(2/$G$3-1/(($G$2+$G$3)/2)))*SIN(RADIANS(A2)/2)
+ABS(SQRT($G$4/$G$3)-SQRT($G$4*(2/$G$3-1/(($G$2+$G$3)/2))))</calculatedColumnFormula>
    </tableColumn>
    <tableColumn id="4" xr3:uid="{D9B8F33C-D237-4F0A-8426-EBAE5E0502B0}" name="Δv Savings (m/s)" dataDxfId="3">
      <calculatedColumnFormula>B2-C2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93B3F3-1AFC-4EC5-B0FE-66B403EB46D7}" name="Table2" displayName="Table2" ref="F1:G4" totalsRowShown="0">
  <autoFilter ref="F1:G4" xr:uid="{7C93B3F3-1AFC-4EC5-B0FE-66B403EB46D7}"/>
  <tableColumns count="2">
    <tableColumn id="1" xr3:uid="{416C424A-C7C7-4042-AA67-D8F382E6F0AB}" name="Variable"/>
    <tableColumn id="2" xr3:uid="{545DF233-5388-4AAF-A1CB-1A9BE110161E}" name="Number" dataDxfId="2">
      <calculatedColumnFormula>(400*1000)+$O$5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4342BF-DB2E-433F-BFC0-95AE0BEE2011}" name="Table3" displayName="Table3" ref="H24:I27" totalsRowShown="0">
  <autoFilter ref="H24:I27" xr:uid="{024342BF-DB2E-433F-BFC0-95AE0BEE2011}"/>
  <tableColumns count="2">
    <tableColumn id="1" xr3:uid="{3094021E-6AFA-4211-8DAE-7240764F988C}" name="Variable"/>
    <tableColumn id="2" xr3:uid="{74549CF9-77AA-41E4-82C7-8105419827E0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826C81-4F3E-4956-9F1F-9EEACF988771}" name="Table4" displayName="Table4" ref="A22:F30" totalsRowShown="0">
  <autoFilter ref="A22:F30" xr:uid="{88826C81-4F3E-4956-9F1F-9EEACF988771}"/>
  <tableColumns count="6">
    <tableColumn id="1" xr3:uid="{3B582F74-52A6-49B0-B594-66981016A960}" name="Case"/>
    <tableColumn id="2" xr3:uid="{CA78F4B3-7D3E-4109-A73F-1FFBBC9948A9}" name="Final Altitude (km)"/>
    <tableColumn id="3" xr3:uid="{F9AB5849-71AD-404E-BA4A-071915232A5F}" name="r₂ (m)" dataDxfId="1">
      <calculatedColumnFormula>(6371+B23)*1000</calculatedColumnFormula>
    </tableColumn>
    <tableColumn id="4" xr3:uid="{573D6D6F-A006-4CFF-ACA5-A5D80CB144DF}" name="Total Δv_p (m/s)">
      <calculatedColumnFormula>ABS(SQRT($I$25*(2/$I$26-1/(($I$26+C23)/2)))-SQRT($I$25/$I$26))
+2*SQRT($I$25*(2/$I$26-1/(($I$26+C23)/2)))*SIN(RADIANS($I$27)/2)
+ABS(SQRT($I$25/C23)-SQRT($I$25*(2/C23-1/(($I$26+C23)/2))))</calculatedColumnFormula>
    </tableColumn>
    <tableColumn id="5" xr3:uid="{A7E6651C-CA56-42D3-8D5C-436DEBE8FC5F}" name="Total Δv_a (m/s)">
      <calculatedColumnFormula>ABS(SQRT($I$25*(2/$I$26-1/(($I$26+C23)/2)))-SQRT($I$25/$I$26))
+2*SQRT($I$25*(2/C23-1/(($I$26+C23)/2)))*SIN(RADIANS($I$27)/2)
+ABS(SQRT($I$25/C23)-SQRT($I$25*(2/C23-1/(($I$26+C23)/2))))</calculatedColumnFormula>
    </tableColumn>
    <tableColumn id="6" xr3:uid="{22E22312-EA33-4B68-BBE2-1D4A250C4D95}" name="Δv Savings (m/s)" dataDxfId="0">
      <calculatedColumnFormula>D23-E23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23DE-C3C0-4444-BEF3-C98593939618}">
  <dimension ref="A1:I30"/>
  <sheetViews>
    <sheetView tabSelected="1" zoomScale="70" zoomScaleNormal="70" workbookViewId="0">
      <selection activeCell="C23" sqref="C23:C30"/>
    </sheetView>
  </sheetViews>
  <sheetFormatPr defaultRowHeight="14.4" x14ac:dyDescent="0.3"/>
  <cols>
    <col min="1" max="1" width="14.33203125" customWidth="1"/>
    <col min="2" max="2" width="19.44140625" customWidth="1"/>
    <col min="3" max="3" width="17.109375" customWidth="1"/>
    <col min="4" max="4" width="17.88671875" customWidth="1"/>
    <col min="5" max="5" width="16.88671875" customWidth="1"/>
    <col min="6" max="6" width="17.77734375" customWidth="1"/>
    <col min="7" max="7" width="10.88671875" customWidth="1"/>
    <col min="8" max="8" width="13.5546875" customWidth="1"/>
    <col min="9" max="9" width="12.21875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F1" t="s">
        <v>0</v>
      </c>
      <c r="G1" t="s">
        <v>1</v>
      </c>
    </row>
    <row r="2" spans="1:7" x14ac:dyDescent="0.3">
      <c r="A2">
        <v>5</v>
      </c>
      <c r="B2" s="1">
        <f>ABS(SQRT($G$4*(2/$G$2-1/(($G$2+$G$3)/2)))-SQRT($G$4/$G$2))
+2*SQRT($G$4*(2/$G$2-1/(($G$2+$G$3)/2)))*SIN(RADIANS(A2)/2)
+ABS(SQRT($G$4/$G$3)-SQRT($G$4*(2/$G$3-1/(($G$2+$G$3)/2))))</f>
        <v>895.89691236824694</v>
      </c>
      <c r="C2" s="1">
        <f t="shared" ref="C2:C14" si="0">ABS(SQRT($G$4*(2/$G$2-1/(($G$2+$G$3)/2)))-SQRT($G$4/$G$2))
+2*SQRT($G$4*(2/$G$3-1/(($G$2+$G$3)/2)))*SIN(RADIANS(A2)/2)
+ABS(SQRT($G$4/$G$3)-SQRT($G$4*(2/$G$3-1/(($G$2+$G$3)/2))))</f>
        <v>858.02873642485281</v>
      </c>
      <c r="D2" s="1">
        <f t="shared" ref="D2:D14" si="1">B2-C2</f>
        <v>37.868175943394135</v>
      </c>
      <c r="F2" t="s">
        <v>9</v>
      </c>
      <c r="G2" s="1">
        <v>6771000</v>
      </c>
    </row>
    <row r="3" spans="1:7" x14ac:dyDescent="0.3">
      <c r="A3">
        <v>10</v>
      </c>
      <c r="B3" s="1">
        <f t="shared" ref="B3:B14" si="2">ABS(SQRT($G$4*(2/$G$2-1/(($G$2+$G$3)/2)))-SQRT($G$4/$G$2))
+2*SQRT($G$4*(2/$G$2-1/(($G$2+$G$3)/2)))*SIN(RADIANS(A3)/2)
+ABS(SQRT($G$4/$G$3)-SQRT($G$4*(2/$G$3-1/(($G$2+$G$3)/2))))</f>
        <v>1573.4863466462659</v>
      </c>
      <c r="C3" s="1">
        <f t="shared" si="0"/>
        <v>1497.8220789846725</v>
      </c>
      <c r="D3" s="1">
        <f>B3-C3</f>
        <v>75.664267661593385</v>
      </c>
      <c r="F3" t="s">
        <v>10</v>
      </c>
      <c r="G3" s="1">
        <v>7171000</v>
      </c>
    </row>
    <row r="4" spans="1:7" x14ac:dyDescent="0.3">
      <c r="A4">
        <v>15</v>
      </c>
      <c r="B4" s="1">
        <f t="shared" si="2"/>
        <v>2248.4936609772935</v>
      </c>
      <c r="C4" s="1">
        <f t="shared" si="0"/>
        <v>2135.1773328314703</v>
      </c>
      <c r="D4" s="1">
        <f t="shared" si="1"/>
        <v>113.31632814582326</v>
      </c>
      <c r="F4" t="s">
        <v>11</v>
      </c>
      <c r="G4" s="1">
        <v>398600000000000</v>
      </c>
    </row>
    <row r="5" spans="1:7" x14ac:dyDescent="0.3">
      <c r="A5">
        <v>20</v>
      </c>
      <c r="B5" s="1">
        <f t="shared" si="2"/>
        <v>2919.633940573593</v>
      </c>
      <c r="C5" s="1">
        <f t="shared" si="0"/>
        <v>2768.8812560146448</v>
      </c>
      <c r="D5" s="1">
        <f t="shared" si="1"/>
        <v>150.7526845589482</v>
      </c>
      <c r="G5" s="1"/>
    </row>
    <row r="6" spans="1:7" x14ac:dyDescent="0.3">
      <c r="A6">
        <v>25</v>
      </c>
      <c r="B6" s="1">
        <f t="shared" si="2"/>
        <v>3585.629631767833</v>
      </c>
      <c r="C6" s="1">
        <f t="shared" si="0"/>
        <v>3397.7275570990396</v>
      </c>
      <c r="D6" s="1">
        <f t="shared" si="1"/>
        <v>187.90207466879338</v>
      </c>
      <c r="G6" s="1"/>
    </row>
    <row r="7" spans="1:7" x14ac:dyDescent="0.3">
      <c r="A7">
        <v>30</v>
      </c>
      <c r="B7" s="1">
        <f t="shared" si="2"/>
        <v>4245.2129739091033</v>
      </c>
      <c r="C7" s="1">
        <f t="shared" si="0"/>
        <v>4020.5191914092538</v>
      </c>
      <c r="D7" s="1">
        <f t="shared" si="1"/>
        <v>224.69378249984948</v>
      </c>
      <c r="G7" s="1"/>
    </row>
    <row r="8" spans="1:7" x14ac:dyDescent="0.3">
      <c r="A8">
        <v>35</v>
      </c>
      <c r="B8" s="1">
        <f t="shared" si="2"/>
        <v>4897.1284126173741</v>
      </c>
      <c r="C8" s="1">
        <f t="shared" si="0"/>
        <v>4636.0706396722153</v>
      </c>
      <c r="D8" s="1">
        <f t="shared" si="1"/>
        <v>261.05777294515883</v>
      </c>
      <c r="G8" s="1"/>
    </row>
    <row r="9" spans="1:7" x14ac:dyDescent="0.3">
      <c r="A9">
        <v>40</v>
      </c>
      <c r="B9" s="1">
        <f t="shared" si="2"/>
        <v>5540.1349898026101</v>
      </c>
      <c r="C9" s="1">
        <f t="shared" si="0"/>
        <v>5243.2101647204981</v>
      </c>
      <c r="D9" s="1">
        <f t="shared" si="1"/>
        <v>296.92482508211197</v>
      </c>
      <c r="G9" s="1"/>
    </row>
    <row r="10" spans="1:7" x14ac:dyDescent="0.3">
      <c r="A10">
        <v>45</v>
      </c>
      <c r="B10" s="1">
        <f t="shared" si="2"/>
        <v>6173.0087058990366</v>
      </c>
      <c r="C10" s="1">
        <f t="shared" si="0"/>
        <v>5840.7820419606187</v>
      </c>
      <c r="D10" s="1">
        <f t="shared" si="1"/>
        <v>332.22666393841791</v>
      </c>
      <c r="G10" s="1"/>
    </row>
    <row r="11" spans="1:7" x14ac:dyDescent="0.3">
      <c r="A11">
        <v>50</v>
      </c>
      <c r="B11" s="1">
        <f t="shared" si="2"/>
        <v>6794.5448498178721</v>
      </c>
      <c r="C11" s="1">
        <f t="shared" si="0"/>
        <v>6427.6487593604843</v>
      </c>
      <c r="D11" s="1">
        <f t="shared" si="1"/>
        <v>366.8960904573878</v>
      </c>
      <c r="G11" s="1"/>
    </row>
    <row r="12" spans="1:7" x14ac:dyDescent="0.3">
      <c r="A12">
        <v>55</v>
      </c>
      <c r="B12" s="1">
        <f t="shared" si="2"/>
        <v>7403.5602921833633</v>
      </c>
      <c r="C12" s="1">
        <f t="shared" si="0"/>
        <v>7002.693182768201</v>
      </c>
      <c r="D12" s="1">
        <f t="shared" si="1"/>
        <v>400.8671094151623</v>
      </c>
      <c r="G12" s="1"/>
    </row>
    <row r="13" spans="1:7" x14ac:dyDescent="0.3">
      <c r="A13">
        <v>60</v>
      </c>
      <c r="B13" s="1">
        <f t="shared" si="2"/>
        <v>7998.8957374867905</v>
      </c>
      <c r="C13" s="1">
        <f t="shared" si="0"/>
        <v>7564.8206824404233</v>
      </c>
      <c r="D13" s="1">
        <f t="shared" si="1"/>
        <v>434.0750550463672</v>
      </c>
      <c r="G13" s="1"/>
    </row>
    <row r="14" spans="1:7" x14ac:dyDescent="0.3">
      <c r="A14">
        <v>65</v>
      </c>
      <c r="B14" s="1">
        <f t="shared" si="2"/>
        <v>8579.4179308713683</v>
      </c>
      <c r="C14" s="1">
        <f t="shared" si="0"/>
        <v>8112.9612167322894</v>
      </c>
      <c r="D14" s="1">
        <f t="shared" si="1"/>
        <v>466.45671413907894</v>
      </c>
      <c r="G14" s="1"/>
    </row>
    <row r="15" spans="1:7" x14ac:dyDescent="0.3">
      <c r="G15" s="1"/>
    </row>
    <row r="22" spans="1:9" x14ac:dyDescent="0.3">
      <c r="A22" t="s">
        <v>3</v>
      </c>
      <c r="B22" t="s">
        <v>4</v>
      </c>
      <c r="C22" t="s">
        <v>10</v>
      </c>
      <c r="D22" t="s">
        <v>6</v>
      </c>
      <c r="E22" t="s">
        <v>7</v>
      </c>
      <c r="F22" t="s">
        <v>8</v>
      </c>
    </row>
    <row r="23" spans="1:9" x14ac:dyDescent="0.3">
      <c r="A23">
        <v>1</v>
      </c>
      <c r="B23">
        <v>800</v>
      </c>
      <c r="C23" s="1">
        <f t="shared" ref="C23:C30" si="3">(6371+B23)*1000</f>
        <v>7171000</v>
      </c>
      <c r="D23" s="1">
        <f>ABS(SQRT($I$25*(2/$I$26-1/(($I$26+C23)/2)))-SQRT($I$25/$I$26))
+2*SQRT($I$25*(2/$I$26-1/(($I$26+C23)/2)))*SIN(RADIANS($I$27)/2)
+ABS(SQRT($I$25/C23)-SQRT($I$25*(2/C23-1/(($I$26+C23)/2))))</f>
        <v>6423.0504352196504</v>
      </c>
      <c r="E23" s="1">
        <f>ABS(SQRT($I$25*(2/$I$26-1/(($I$26+C23)/2)))-SQRT($I$25/$I$26))
+2*SQRT($I$25*(2/C23-1/(($I$26+C23)/2)))*SIN(RADIANS($I$27)/2)
+ABS(SQRT($I$25/C23)-SQRT($I$25*(2/C23-1/(($I$26+C23)/2))))</f>
        <v>6076.8763871328229</v>
      </c>
      <c r="F23" s="1">
        <f t="shared" ref="F23:F30" si="4">D23-E23</f>
        <v>346.1740480868275</v>
      </c>
    </row>
    <row r="24" spans="1:9" x14ac:dyDescent="0.3">
      <c r="A24">
        <v>2</v>
      </c>
      <c r="B24">
        <v>1000</v>
      </c>
      <c r="C24" s="1">
        <f t="shared" si="3"/>
        <v>7371000</v>
      </c>
      <c r="D24" s="1">
        <f t="shared" ref="D24:D30" si="5">ABS(SQRT($I$25*(2/$I$26-1/(($I$26+C24)/2)))-SQRT($I$25/$I$26))
+2*SQRT($I$25*(2/$I$26-1/(($I$26+C24)/2)))*SIN(RADIANS($I$27)/2)
+ABS(SQRT($I$25/C24)-SQRT($I$25*(2/C24-1/(($I$26+C24)/2))))</f>
        <v>6566.092421660549</v>
      </c>
      <c r="E24" s="1">
        <f t="shared" ref="E24:E30" si="6">ABS(SQRT($I$25*(2/$I$26-1/(($I$26+C24)/2)))-SQRT($I$25/$I$26))
+2*SQRT($I$25*(2/C24-1/(($I$26+C24)/2)))*SIN(RADIANS($I$27)/2)
+ABS(SQRT($I$25/C24)-SQRT($I$25*(2/C24-1/(($I$26+C24)/2))))</f>
        <v>6057.558949237512</v>
      </c>
      <c r="F24" s="1">
        <f t="shared" si="4"/>
        <v>508.53347242303698</v>
      </c>
      <c r="H24" t="s">
        <v>0</v>
      </c>
      <c r="I24" t="s">
        <v>2</v>
      </c>
    </row>
    <row r="25" spans="1:9" x14ac:dyDescent="0.3">
      <c r="A25">
        <v>3</v>
      </c>
      <c r="B25">
        <v>1400</v>
      </c>
      <c r="C25" s="1">
        <f t="shared" si="3"/>
        <v>7771000</v>
      </c>
      <c r="D25" s="1">
        <f t="shared" si="5"/>
        <v>6835.8263891498755</v>
      </c>
      <c r="E25" s="1">
        <f t="shared" si="6"/>
        <v>6021.8039229607248</v>
      </c>
      <c r="F25" s="1">
        <f t="shared" si="4"/>
        <v>814.02246618915069</v>
      </c>
      <c r="H25" t="s">
        <v>11</v>
      </c>
      <c r="I25" s="1">
        <v>398600000000000</v>
      </c>
    </row>
    <row r="26" spans="1:9" x14ac:dyDescent="0.3">
      <c r="A26">
        <v>4</v>
      </c>
      <c r="B26">
        <v>2000</v>
      </c>
      <c r="C26" s="1">
        <f t="shared" si="3"/>
        <v>8371000</v>
      </c>
      <c r="D26" s="1">
        <f t="shared" si="5"/>
        <v>7203.9840036279029</v>
      </c>
      <c r="E26" s="1">
        <f t="shared" si="6"/>
        <v>5974.2063235119977</v>
      </c>
      <c r="F26" s="1">
        <f t="shared" si="4"/>
        <v>1229.7776801159052</v>
      </c>
      <c r="H26" t="s">
        <v>10</v>
      </c>
      <c r="I26" s="1">
        <v>6771000</v>
      </c>
    </row>
    <row r="27" spans="1:9" x14ac:dyDescent="0.3">
      <c r="A27">
        <v>5</v>
      </c>
      <c r="B27">
        <v>2800</v>
      </c>
      <c r="C27" s="1">
        <f t="shared" si="3"/>
        <v>9171000</v>
      </c>
      <c r="D27" s="1">
        <f t="shared" si="5"/>
        <v>7637.1015774524303</v>
      </c>
      <c r="E27" s="1">
        <f t="shared" si="6"/>
        <v>5919.5159063191859</v>
      </c>
      <c r="F27" s="1">
        <f t="shared" si="4"/>
        <v>1717.5856711332444</v>
      </c>
      <c r="H27" t="s">
        <v>5</v>
      </c>
      <c r="I27">
        <v>47</v>
      </c>
    </row>
    <row r="28" spans="1:9" x14ac:dyDescent="0.3">
      <c r="A28">
        <v>6</v>
      </c>
      <c r="B28">
        <v>3800</v>
      </c>
      <c r="C28" s="1">
        <f t="shared" si="3"/>
        <v>10171000</v>
      </c>
      <c r="D28" s="1">
        <f t="shared" si="5"/>
        <v>8102.8194254140253</v>
      </c>
      <c r="E28" s="1">
        <f t="shared" si="6"/>
        <v>5861.5107768124053</v>
      </c>
      <c r="F28" s="1">
        <f t="shared" si="4"/>
        <v>2241.30864860162</v>
      </c>
    </row>
    <row r="29" spans="1:9" x14ac:dyDescent="0.3">
      <c r="A29">
        <v>7</v>
      </c>
      <c r="B29">
        <v>5000</v>
      </c>
      <c r="C29" s="1">
        <f t="shared" si="3"/>
        <v>11371000</v>
      </c>
      <c r="D29" s="1">
        <f t="shared" si="5"/>
        <v>8574.0389313237392</v>
      </c>
      <c r="E29" s="1">
        <f t="shared" si="6"/>
        <v>5802.6158066576381</v>
      </c>
      <c r="F29" s="1">
        <f t="shared" si="4"/>
        <v>2771.4231246661011</v>
      </c>
    </row>
    <row r="30" spans="1:9" x14ac:dyDescent="0.3">
      <c r="A30">
        <v>8</v>
      </c>
      <c r="B30">
        <v>6400</v>
      </c>
      <c r="C30" s="1">
        <f t="shared" si="3"/>
        <v>12771000</v>
      </c>
      <c r="D30" s="1">
        <f t="shared" si="5"/>
        <v>9030.638299553495</v>
      </c>
      <c r="E30" s="1">
        <f t="shared" si="6"/>
        <v>5744.0809936797632</v>
      </c>
      <c r="F30" s="1">
        <f t="shared" si="4"/>
        <v>3286.5573058737318</v>
      </c>
    </row>
  </sheetData>
  <pageMargins left="0.7" right="0.7" top="0.75" bottom="0.75" header="0.3" footer="0.3"/>
  <ignoredErrors>
    <ignoredError sqref="G2:G4" calculatedColumn="1"/>
  </ignoredErrors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Angelici</dc:creator>
  <cp:lastModifiedBy>Michele Angelici</cp:lastModifiedBy>
  <dcterms:created xsi:type="dcterms:W3CDTF">2026-05-10T07:28:29Z</dcterms:created>
  <dcterms:modified xsi:type="dcterms:W3CDTF">2026-09-22T21:11:09Z</dcterms:modified>
</cp:coreProperties>
</file>